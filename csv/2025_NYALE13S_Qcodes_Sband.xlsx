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_NYALE13S_Qcodes_Sban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<sst xmlns="http://schemas.openxmlformats.org/spreadsheetml/2006/main" count="26" uniqueCount="21">
  <si>
    <t xml:space="preserve">VgosDB</t>
  </si>
  <si>
    <t xml:space="preserve">Total_0</t>
  </si>
  <si>
    <t xml:space="preserve">Total_1</t>
  </si>
  <si>
    <t xml:space="preserve">Total_2</t>
  </si>
  <si>
    <t xml:space="preserve">Total_3</t>
  </si>
  <si>
    <t xml:space="preserve">Total_4</t>
  </si>
  <si>
    <t xml:space="preserve">Total_5</t>
  </si>
  <si>
    <t xml:space="preserve">Total_6</t>
  </si>
  <si>
    <t xml:space="preserve">Total_7</t>
  </si>
  <si>
    <t xml:space="preserve">Total_8</t>
  </si>
  <si>
    <t xml:space="preserve">Total_9</t>
  </si>
  <si>
    <t xml:space="preserve">Total_G</t>
  </si>
  <si>
    <t xml:space="preserve">Total_H</t>
  </si>
  <si>
    <t xml:space="preserve">Sum</t>
  </si>
  <si>
    <t xml:space="preserve">20250811-r11220</t>
  </si>
  <si>
    <t xml:space="preserve">Percent of Sum</t>
  </si>
  <si>
    <t xml:space="preserve">20250623-r11213</t>
  </si>
  <si>
    <t xml:space="preserve">20250630-r11214</t>
  </si>
  <si>
    <t xml:space="preserve">20250707-r11215</t>
  </si>
  <si>
    <t xml:space="preserve">20250710-r41215</t>
  </si>
  <si>
    <t xml:space="preserve">20250703-r41214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</si>
</sst>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8">
    <font>
      <sz val="10"/>
      <name val="DejaVu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A6099"/>
      <name val="DejaVu Sans"/>
      <family val="2"/>
    </font>
    <font>
      <sz val="10"/>
      <color rgb="FFFF0000"/>
      <name val="DejaVu Sans"/>
      <family val="2"/>
    </font>
    <font>
      <sz val="10"/>
      <color rgb="FF00A933"/>
      <name val="DejaVu Sans"/>
      <family val="2"/>
    </font>
    <font>
      <sz val="10"/>
      <color rgb="FF55308D"/>
      <name val="DejaVu San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5530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1" activeCellId="0" sqref="I21"/>
    </sheetView>
  </sheetViews>
  <sheetFormatPr defaultColWidth="10.08203125" defaultRowHeight="12.8" customHeight="false" zeroHeight="false" outlineLevelRow="0" outlineLevelCol="0"/>
  <cols>
    <col collapsed="false" customWidth="true" hidden="false" outlineLevel="0" max="1" min="1" style="0" width="15.25"/>
    <col collapsed="false" customWidth="true" hidden="false" outlineLevel="0" max="2" min="2" style="1" width="7.22"/>
    <col collapsed="false" customWidth="true" hidden="false" outlineLevel="0" max="3" min="3" style="2" width="7.22"/>
    <col collapsed="false" customWidth="true" hidden="false" outlineLevel="0" max="4" min="4" style="3" width="7.22"/>
    <col collapsed="false" customWidth="true" hidden="false" outlineLevel="0" max="5" min="5" style="4" width="7.22"/>
    <col collapsed="false" customWidth="true" hidden="false" outlineLevel="0" max="6" min="6" style="0" width="7.22"/>
    <col collapsed="false" customWidth="true" hidden="false" outlineLevel="0" max="7" min="7" style="1" width="7.22"/>
    <col collapsed="false" customWidth="true" hidden="false" outlineLevel="0" max="8" min="8" style="2" width="7.22"/>
    <col collapsed="false" customWidth="true" hidden="false" outlineLevel="0" max="9" min="9" style="3" width="7.22"/>
    <col collapsed="false" customWidth="true" hidden="false" outlineLevel="0" max="10" min="10" style="4" width="7.22"/>
    <col collapsed="false" customWidth="true" hidden="false" outlineLevel="0" max="11" min="11" style="0" width="7.22"/>
    <col collapsed="false" customWidth="true" hidden="false" outlineLevel="0" max="12" min="12" style="1" width="7.45"/>
    <col collapsed="false" customWidth="true" hidden="false" outlineLevel="0" max="13" min="13" style="2" width="7.45"/>
  </cols>
  <sheetData>
    <row r="1" customFormat="false" ht="12.8" hidden="false" customHeight="false" outlineLevel="0" collapsed="false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5" t="s">
        <v>10</v>
      </c>
      <c r="L1" s="6" t="s">
        <v>11</v>
      </c>
      <c r="M1" s="7" t="s">
        <v>12</v>
      </c>
      <c r="N1" s="5" t="s">
        <v>13</v>
      </c>
    </row>
    <row r="2" customFormat="false" ht="12.8" hidden="false" customHeight="false" outlineLevel="0" collapsed="false">
      <c r="A2" s="5" t="s">
        <v>14</v>
      </c>
      <c r="B2" s="6" t="n">
        <v>9</v>
      </c>
      <c r="C2" s="7" t="n">
        <v>0</v>
      </c>
      <c r="D2" s="8" t="n">
        <v>0</v>
      </c>
      <c r="E2" s="9" t="n">
        <v>3</v>
      </c>
      <c r="F2" s="5" t="n">
        <v>11</v>
      </c>
      <c r="G2" s="6" t="n">
        <v>50</v>
      </c>
      <c r="H2" s="7" t="n">
        <v>29</v>
      </c>
      <c r="I2" s="8" t="n">
        <v>44</v>
      </c>
      <c r="J2" s="9" t="n">
        <v>61</v>
      </c>
      <c r="K2" s="5" t="n">
        <v>746</v>
      </c>
      <c r="L2" s="6" t="n">
        <v>14</v>
      </c>
      <c r="M2" s="7" t="n">
        <v>2</v>
      </c>
      <c r="N2" s="5" t="n">
        <f aca="false">SUM(B2:M2)</f>
        <v>969</v>
      </c>
    </row>
    <row r="3" customFormat="false" ht="12.8" hidden="false" customHeight="false" outlineLevel="0" collapsed="false">
      <c r="A3" s="5" t="s">
        <v>15</v>
      </c>
      <c r="B3" s="10" t="n">
        <f aca="false">B2/$N$2</f>
        <v>0.00928792569659443</v>
      </c>
      <c r="C3" s="11" t="n">
        <f aca="false">C2/$N$2</f>
        <v>0</v>
      </c>
      <c r="D3" s="12" t="n">
        <f aca="false">D2/$N$2</f>
        <v>0</v>
      </c>
      <c r="E3" s="13" t="n">
        <f aca="false">E2/$N$2</f>
        <v>0.00309597523219814</v>
      </c>
      <c r="F3" s="14" t="n">
        <f aca="false">F2/$N$2</f>
        <v>0.0113519091847265</v>
      </c>
      <c r="G3" s="10" t="n">
        <f aca="false">G2/$N$2</f>
        <v>0.0515995872033024</v>
      </c>
      <c r="H3" s="11" t="n">
        <f aca="false">H2/$N$2</f>
        <v>0.0299277605779154</v>
      </c>
      <c r="I3" s="12" t="n">
        <f aca="false">I2/$N$2</f>
        <v>0.0454076367389061</v>
      </c>
      <c r="J3" s="13" t="n">
        <f aca="false">J2/$N$2</f>
        <v>0.0629514963880289</v>
      </c>
      <c r="K3" s="14" t="n">
        <f aca="false">K2/$N$2</f>
        <v>0.769865841073271</v>
      </c>
      <c r="L3" s="10" t="n">
        <f aca="false">L2/$N$2</f>
        <v>0.0144478844169247</v>
      </c>
      <c r="M3" s="11" t="n">
        <f aca="false">M2/$N$2</f>
        <v>0.00206398348813209</v>
      </c>
      <c r="N3" s="14" t="n">
        <f aca="false">SUM(B3:M3)</f>
        <v>1</v>
      </c>
    </row>
    <row r="4" customFormat="false" ht="12.8" hidden="false" customHeight="false" outlineLevel="0" collapsed="false">
      <c r="A4" s="5" t="s">
        <v>16</v>
      </c>
      <c r="B4" s="6" t="n">
        <v>17</v>
      </c>
      <c r="C4" s="7" t="n">
        <v>3</v>
      </c>
      <c r="D4" s="8" t="n">
        <v>1</v>
      </c>
      <c r="E4" s="9" t="n">
        <v>12</v>
      </c>
      <c r="F4" s="5" t="n">
        <v>32</v>
      </c>
      <c r="G4" s="6" t="n">
        <v>82</v>
      </c>
      <c r="H4" s="7" t="n">
        <v>94</v>
      </c>
      <c r="I4" s="8" t="n">
        <v>122</v>
      </c>
      <c r="J4" s="9" t="n">
        <v>91</v>
      </c>
      <c r="K4" s="5" t="n">
        <v>395</v>
      </c>
      <c r="L4" s="6" t="n">
        <v>3</v>
      </c>
      <c r="M4" s="7" t="n">
        <v>0</v>
      </c>
      <c r="N4" s="5" t="n">
        <f aca="false">SUM(B4:M4)</f>
        <v>852</v>
      </c>
    </row>
    <row r="5" customFormat="false" ht="12.8" hidden="false" customHeight="false" outlineLevel="0" collapsed="false">
      <c r="A5" s="5" t="s">
        <v>15</v>
      </c>
      <c r="B5" s="10" t="n">
        <f aca="false">B4/$N$4</f>
        <v>0.0199530516431925</v>
      </c>
      <c r="C5" s="11" t="n">
        <f aca="false">C4/$N$4</f>
        <v>0.00352112676056338</v>
      </c>
      <c r="D5" s="12" t="n">
        <f aca="false">D4/$N$4</f>
        <v>0.00117370892018779</v>
      </c>
      <c r="E5" s="13" t="n">
        <f aca="false">E4/$N$4</f>
        <v>0.0140845070422535</v>
      </c>
      <c r="F5" s="14" t="n">
        <f aca="false">F4/$N$4</f>
        <v>0.0375586854460094</v>
      </c>
      <c r="G5" s="10" t="n">
        <f aca="false">G4/$N$4</f>
        <v>0.0962441314553991</v>
      </c>
      <c r="H5" s="11" t="n">
        <f aca="false">H4/$N$4</f>
        <v>0.110328638497653</v>
      </c>
      <c r="I5" s="12" t="n">
        <f aca="false">I4/$N$4</f>
        <v>0.143192488262911</v>
      </c>
      <c r="J5" s="13" t="n">
        <f aca="false">J4/$N$4</f>
        <v>0.106807511737089</v>
      </c>
      <c r="K5" s="14" t="n">
        <f aca="false">K4/$N$4</f>
        <v>0.463615023474178</v>
      </c>
      <c r="L5" s="10" t="n">
        <f aca="false">L4/$N$4</f>
        <v>0.00352112676056338</v>
      </c>
      <c r="M5" s="11" t="n">
        <f aca="false">M4/$N$4</f>
        <v>0</v>
      </c>
      <c r="N5" s="14" t="n">
        <f aca="false">SUM(B5:M5)</f>
        <v>1</v>
      </c>
    </row>
    <row r="6" customFormat="false" ht="12.8" hidden="false" customHeight="false" outlineLevel="0" collapsed="false">
      <c r="A6" s="5" t="s">
        <v>17</v>
      </c>
      <c r="B6" s="6" t="n">
        <v>211</v>
      </c>
      <c r="C6" s="7" t="n">
        <v>2</v>
      </c>
      <c r="D6" s="8" t="n">
        <v>11</v>
      </c>
      <c r="E6" s="9" t="n">
        <v>69</v>
      </c>
      <c r="F6" s="5" t="n">
        <v>129</v>
      </c>
      <c r="G6" s="6" t="n">
        <v>171</v>
      </c>
      <c r="H6" s="7" t="n">
        <v>91</v>
      </c>
      <c r="I6" s="8" t="n">
        <v>273</v>
      </c>
      <c r="J6" s="9" t="n">
        <v>77</v>
      </c>
      <c r="K6" s="5" t="n">
        <v>434</v>
      </c>
      <c r="L6" s="6" t="n">
        <v>27</v>
      </c>
      <c r="M6" s="7" t="n">
        <v>0</v>
      </c>
      <c r="N6" s="5" t="n">
        <f aca="false">SUM(B6:M6)</f>
        <v>1495</v>
      </c>
    </row>
    <row r="7" customFormat="false" ht="12.8" hidden="false" customHeight="false" outlineLevel="0" collapsed="false">
      <c r="A7" s="5" t="s">
        <v>15</v>
      </c>
      <c r="B7" s="10" t="n">
        <f aca="false">B6/$N$6</f>
        <v>0.141137123745819</v>
      </c>
      <c r="C7" s="11" t="n">
        <f aca="false">C6/$N$6</f>
        <v>0.00133779264214047</v>
      </c>
      <c r="D7" s="12" t="n">
        <f aca="false">D6/$N$6</f>
        <v>0.00735785953177258</v>
      </c>
      <c r="E7" s="13" t="n">
        <f aca="false">E6/$N$6</f>
        <v>0.0461538461538462</v>
      </c>
      <c r="F7" s="14" t="n">
        <f aca="false">F6/$N$6</f>
        <v>0.0862876254180602</v>
      </c>
      <c r="G7" s="10" t="n">
        <f aca="false">G6/$N$6</f>
        <v>0.11438127090301</v>
      </c>
      <c r="H7" s="11" t="n">
        <f aca="false">H6/$N$6</f>
        <v>0.0608695652173913</v>
      </c>
      <c r="I7" s="12" t="n">
        <f aca="false">I6/$N$6</f>
        <v>0.182608695652174</v>
      </c>
      <c r="J7" s="13" t="n">
        <f aca="false">J6/$N$6</f>
        <v>0.051505016722408</v>
      </c>
      <c r="K7" s="14" t="n">
        <f aca="false">K6/$N$6</f>
        <v>0.290301003344482</v>
      </c>
      <c r="L7" s="10" t="n">
        <f aca="false">L6/$N$6</f>
        <v>0.0180602006688963</v>
      </c>
      <c r="M7" s="11" t="n">
        <f aca="false">M6/$N$6</f>
        <v>0</v>
      </c>
      <c r="N7" s="14" t="n">
        <f aca="false">SUM(B7:M7)</f>
        <v>1</v>
      </c>
    </row>
    <row r="8" customFormat="false" ht="12.8" hidden="false" customHeight="false" outlineLevel="0" collapsed="false">
      <c r="A8" s="5" t="s">
        <v>18</v>
      </c>
      <c r="B8" s="6" t="n">
        <v>394</v>
      </c>
      <c r="C8" s="7" t="n">
        <v>0</v>
      </c>
      <c r="D8" s="8" t="n">
        <v>2</v>
      </c>
      <c r="E8" s="9" t="n">
        <v>14</v>
      </c>
      <c r="F8" s="5" t="n">
        <v>26</v>
      </c>
      <c r="G8" s="6" t="n">
        <v>92</v>
      </c>
      <c r="H8" s="7" t="n">
        <v>113</v>
      </c>
      <c r="I8" s="8" t="n">
        <v>123</v>
      </c>
      <c r="J8" s="9" t="n">
        <v>78</v>
      </c>
      <c r="K8" s="5" t="n">
        <v>692</v>
      </c>
      <c r="L8" s="6" t="n">
        <v>47</v>
      </c>
      <c r="M8" s="7" t="n">
        <v>1</v>
      </c>
      <c r="N8" s="5" t="n">
        <f aca="false">SUM(B8:M8)</f>
        <v>1582</v>
      </c>
    </row>
    <row r="9" customFormat="false" ht="12.8" hidden="false" customHeight="false" outlineLevel="0" collapsed="false">
      <c r="A9" s="5" t="s">
        <v>15</v>
      </c>
      <c r="B9" s="10" t="n">
        <f aca="false">B8/$N$8</f>
        <v>0.24905183312263</v>
      </c>
      <c r="C9" s="11" t="n">
        <f aca="false">C8/$N$8</f>
        <v>0</v>
      </c>
      <c r="D9" s="12" t="n">
        <f aca="false">D8/$N$8</f>
        <v>0.00126422250316056</v>
      </c>
      <c r="E9" s="13" t="n">
        <f aca="false">E8/$N$8</f>
        <v>0.00884955752212389</v>
      </c>
      <c r="F9" s="14" t="n">
        <f aca="false">F8/$N$8</f>
        <v>0.0164348925410872</v>
      </c>
      <c r="G9" s="10" t="n">
        <f aca="false">G8/$N$8</f>
        <v>0.0581542351453856</v>
      </c>
      <c r="H9" s="11" t="n">
        <f aca="false">H8/$N$8</f>
        <v>0.0714285714285714</v>
      </c>
      <c r="I9" s="12" t="n">
        <f aca="false">I8/$N$8</f>
        <v>0.0777496839443742</v>
      </c>
      <c r="J9" s="13" t="n">
        <f aca="false">J8/$N$8</f>
        <v>0.0493046776232617</v>
      </c>
      <c r="K9" s="14" t="n">
        <f aca="false">K8/$N$8</f>
        <v>0.437420986093552</v>
      </c>
      <c r="L9" s="10" t="n">
        <f aca="false">L8/$N$8</f>
        <v>0.0297092288242731</v>
      </c>
      <c r="M9" s="11" t="n">
        <f aca="false">M8/$N$8</f>
        <v>0.000632111251580278</v>
      </c>
      <c r="N9" s="14" t="n">
        <f aca="false">SUM(B9:M9)</f>
        <v>1</v>
      </c>
    </row>
    <row r="10" customFormat="false" ht="12.8" hidden="false" customHeight="false" outlineLevel="0" collapsed="false">
      <c r="A10" s="5" t="s">
        <v>19</v>
      </c>
      <c r="B10" s="6" t="n">
        <v>23</v>
      </c>
      <c r="C10" s="7" t="n">
        <v>3</v>
      </c>
      <c r="D10" s="8" t="n">
        <v>3</v>
      </c>
      <c r="E10" s="9" t="n">
        <v>4</v>
      </c>
      <c r="F10" s="5" t="n">
        <v>1</v>
      </c>
      <c r="G10" s="6" t="n">
        <v>13</v>
      </c>
      <c r="H10" s="7" t="n">
        <v>21</v>
      </c>
      <c r="I10" s="8" t="n">
        <v>83</v>
      </c>
      <c r="J10" s="9" t="n">
        <v>163</v>
      </c>
      <c r="K10" s="5" t="n">
        <v>423</v>
      </c>
      <c r="L10" s="6" t="n">
        <v>32</v>
      </c>
      <c r="M10" s="7" t="n">
        <v>1</v>
      </c>
      <c r="N10" s="5" t="n">
        <f aca="false">SUM(B10:M10)</f>
        <v>770</v>
      </c>
    </row>
    <row r="11" customFormat="false" ht="12.8" hidden="false" customHeight="false" outlineLevel="0" collapsed="false">
      <c r="A11" s="5" t="s">
        <v>15</v>
      </c>
      <c r="B11" s="10" t="n">
        <f aca="false">B10/$N$10</f>
        <v>0.0298701298701299</v>
      </c>
      <c r="C11" s="11" t="n">
        <f aca="false">C10/$N$10</f>
        <v>0.0038961038961039</v>
      </c>
      <c r="D11" s="12" t="n">
        <f aca="false">D10/$N$10</f>
        <v>0.0038961038961039</v>
      </c>
      <c r="E11" s="13" t="n">
        <f aca="false">E10/$N$10</f>
        <v>0.0051948051948052</v>
      </c>
      <c r="F11" s="14" t="n">
        <f aca="false">F10/$N$10</f>
        <v>0.0012987012987013</v>
      </c>
      <c r="G11" s="10" t="n">
        <f aca="false">G10/$N$10</f>
        <v>0.0168831168831169</v>
      </c>
      <c r="H11" s="11" t="n">
        <f aca="false">H10/$N$10</f>
        <v>0.0272727272727273</v>
      </c>
      <c r="I11" s="12" t="n">
        <f aca="false">I10/$N$10</f>
        <v>0.107792207792208</v>
      </c>
      <c r="J11" s="13" t="n">
        <f aca="false">J10/$N$10</f>
        <v>0.211688311688312</v>
      </c>
      <c r="K11" s="14" t="n">
        <f aca="false">K10/$N$10</f>
        <v>0.549350649350649</v>
      </c>
      <c r="L11" s="10" t="n">
        <f aca="false">L10/$N$10</f>
        <v>0.0415584415584416</v>
      </c>
      <c r="M11" s="11" t="n">
        <f aca="false">M10/$N$10</f>
        <v>0.0012987012987013</v>
      </c>
      <c r="N11" s="14" t="n">
        <f aca="false">SUM(B11:M11)</f>
        <v>1</v>
      </c>
    </row>
    <row r="12" customFormat="false" ht="12.8" hidden="false" customHeight="false" outlineLevel="0" collapsed="false">
      <c r="A12" s="5" t="s">
        <v>20</v>
      </c>
      <c r="B12" s="6" t="n">
        <v>4</v>
      </c>
      <c r="C12" s="7" t="n">
        <v>0</v>
      </c>
      <c r="D12" s="8" t="n">
        <v>0</v>
      </c>
      <c r="E12" s="9" t="n">
        <v>4</v>
      </c>
      <c r="F12" s="5" t="n">
        <v>4</v>
      </c>
      <c r="G12" s="6" t="n">
        <v>18</v>
      </c>
      <c r="H12" s="7" t="n">
        <v>27</v>
      </c>
      <c r="I12" s="8" t="n">
        <v>44</v>
      </c>
      <c r="J12" s="9" t="n">
        <v>139</v>
      </c>
      <c r="K12" s="5" t="n">
        <v>277</v>
      </c>
      <c r="L12" s="6" t="n">
        <v>13</v>
      </c>
      <c r="M12" s="7" t="n">
        <v>0</v>
      </c>
      <c r="N12" s="5" t="n">
        <f aca="false">SUM(B12:M12)</f>
        <v>530</v>
      </c>
    </row>
    <row r="13" customFormat="false" ht="12.8" hidden="false" customHeight="false" outlineLevel="0" collapsed="false">
      <c r="A13" s="5" t="s">
        <v>15</v>
      </c>
      <c r="B13" s="10" t="n">
        <f aca="false">B12/$N$12</f>
        <v>0.00754716981132076</v>
      </c>
      <c r="C13" s="11" t="n">
        <f aca="false">C12/$N$12</f>
        <v>0</v>
      </c>
      <c r="D13" s="12" t="n">
        <f aca="false">D12/$N$12</f>
        <v>0</v>
      </c>
      <c r="E13" s="13" t="n">
        <f aca="false">E12/$N$12</f>
        <v>0.00754716981132076</v>
      </c>
      <c r="F13" s="14" t="n">
        <f aca="false">F12/$N$12</f>
        <v>0.00754716981132076</v>
      </c>
      <c r="G13" s="10" t="n">
        <f aca="false">G12/$N$12</f>
        <v>0.0339622641509434</v>
      </c>
      <c r="H13" s="11" t="n">
        <f aca="false">H12/$N$12</f>
        <v>0.0509433962264151</v>
      </c>
      <c r="I13" s="12" t="n">
        <f aca="false">I12/$N$12</f>
        <v>0.0830188679245283</v>
      </c>
      <c r="J13" s="13" t="n">
        <f aca="false">J12/$N$12</f>
        <v>0.262264150943396</v>
      </c>
      <c r="K13" s="14" t="n">
        <f aca="false">K12/$N$12</f>
        <v>0.522641509433962</v>
      </c>
      <c r="L13" s="10" t="n">
        <f aca="false">L12/$N$12</f>
        <v>0.0245283018867925</v>
      </c>
      <c r="M13" s="11" t="n">
        <f aca="false">M12/$N$12</f>
        <v>0</v>
      </c>
      <c r="N13" s="14" t="n">
        <f aca="false">SUM(B13:M13)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2026-03-28T09:21:06Z</dcterms:modified>
  <cp:revision>1</cp:revision>
  <dc:subject/>
  <dc:title/>
</cp:coreProperties>
</file>